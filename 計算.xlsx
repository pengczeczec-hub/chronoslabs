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be8\OneDrive\桌面\倉庫\軟體開發\一頁式網站\"/>
    </mc:Choice>
  </mc:AlternateContent>
  <xr:revisionPtr revIDLastSave="0" documentId="13_ncr:1_{F8045281-FEA1-4358-A729-69DC092CF5B7}" xr6:coauthVersionLast="47" xr6:coauthVersionMax="47" xr10:uidLastSave="{00000000-0000-0000-0000-000000000000}"/>
  <bookViews>
    <workbookView xWindow="-110" yWindow="-110" windowWidth="25820" windowHeight="15500" xr2:uid="{208D7705-05FD-4706-8101-D4BEF4DEF0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D3" i="1" s="1"/>
  <c r="E3" i="1" s="1"/>
  <c r="G3" i="1" s="1"/>
  <c r="H3" i="1" s="1"/>
  <c r="J3" i="1" s="1"/>
  <c r="C2" i="1"/>
  <c r="D4" i="1"/>
  <c r="E4" i="1" s="1"/>
  <c r="G4" i="1" s="1"/>
  <c r="H4" i="1" s="1"/>
  <c r="J4" i="1" s="1"/>
  <c r="D2" i="1"/>
  <c r="E2" i="1"/>
  <c r="G2" i="1" s="1"/>
  <c r="H2" i="1" s="1"/>
  <c r="J2" i="1" s="1"/>
</calcChain>
</file>

<file path=xl/sharedStrings.xml><?xml version="1.0" encoding="utf-8"?>
<sst xmlns="http://schemas.openxmlformats.org/spreadsheetml/2006/main" count="13" uniqueCount="13">
  <si>
    <t>人民幣</t>
    <phoneticPr fontId="1" type="noConversion"/>
  </si>
  <si>
    <t>美元</t>
    <phoneticPr fontId="1" type="noConversion"/>
  </si>
  <si>
    <t>底座</t>
    <phoneticPr fontId="1" type="noConversion"/>
  </si>
  <si>
    <t>燈泡</t>
    <phoneticPr fontId="1" type="noConversion"/>
  </si>
  <si>
    <t>售價</t>
    <phoneticPr fontId="1" type="noConversion"/>
  </si>
  <si>
    <t>台幣</t>
    <phoneticPr fontId="1" type="noConversion"/>
  </si>
  <si>
    <t>利潤(未扣運費)</t>
    <phoneticPr fontId="1" type="noConversion"/>
  </si>
  <si>
    <t>美國運費</t>
    <phoneticPr fontId="1" type="noConversion"/>
  </si>
  <si>
    <t>淨賺</t>
    <phoneticPr fontId="1" type="noConversion"/>
  </si>
  <si>
    <t>規格</t>
    <phoneticPr fontId="1" type="noConversion"/>
  </si>
  <si>
    <t>6位元 IN14</t>
    <phoneticPr fontId="1" type="noConversion"/>
  </si>
  <si>
    <t>4位元 IN14</t>
    <phoneticPr fontId="1" type="noConversion"/>
  </si>
  <si>
    <t>4位元 IN12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</si>
</sst>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31714-91B2-488C-8695-B61B6DB79DC5}">
  <dimension ref="A1:J4"/>
  <sheetViews>
    <sheetView tabSelected="1" workbookViewId="0">
      <selection activeCell="C3" sqref="C3"/>
    </sheetView>
  </sheetViews>
  <sheetFormatPr defaultRowHeight="16.5"/>
  <cols>
    <col min="1" max="1" width="20.69921875" style="1" customWidth="1"/>
    <col min="2" max="6" width="8.796875" style="1"/>
    <col min="7" max="7" width="15.69921875" style="1" customWidth="1"/>
    <col min="8" max="16384" width="8.796875" style="1"/>
  </cols>
  <sheetData>
    <row r="1" spans="1:10">
      <c r="A1" s="1" t="s">
        <v>9</v>
      </c>
      <c r="B1" s="1" t="s">
        <v>2</v>
      </c>
      <c r="C1" s="1" t="s">
        <v>3</v>
      </c>
      <c r="D1" s="1" t="s">
        <v>0</v>
      </c>
      <c r="E1" s="1" t="s">
        <v>1</v>
      </c>
      <c r="F1" s="1" t="s">
        <v>4</v>
      </c>
      <c r="G1" s="1" t="s">
        <v>6</v>
      </c>
      <c r="H1" s="1" t="s">
        <v>5</v>
      </c>
      <c r="I1" s="1" t="s">
        <v>7</v>
      </c>
      <c r="J1" s="1" t="s">
        <v>8</v>
      </c>
    </row>
    <row r="2" spans="1:10">
      <c r="A2" s="1" t="s">
        <v>10</v>
      </c>
      <c r="B2" s="1">
        <v>168</v>
      </c>
      <c r="C2" s="1">
        <f>99*6</f>
        <v>594</v>
      </c>
      <c r="D2" s="1">
        <f>B2+C2</f>
        <v>762</v>
      </c>
      <c r="E2" s="1">
        <f>D2*0.15</f>
        <v>114.3</v>
      </c>
      <c r="F2" s="1">
        <v>349</v>
      </c>
      <c r="G2" s="1">
        <f>F2-E2</f>
        <v>234.7</v>
      </c>
      <c r="H2" s="1">
        <f>G2*31</f>
        <v>7275.7</v>
      </c>
      <c r="I2" s="1">
        <v>1700</v>
      </c>
      <c r="J2" s="1">
        <f>H2-I2</f>
        <v>5575.7</v>
      </c>
    </row>
    <row r="3" spans="1:10">
      <c r="A3" s="1" t="s">
        <v>11</v>
      </c>
      <c r="B3" s="1">
        <v>198</v>
      </c>
      <c r="C3" s="1">
        <f>99*4</f>
        <v>396</v>
      </c>
      <c r="D3" s="1">
        <f>B3+C3</f>
        <v>594</v>
      </c>
      <c r="E3" s="1">
        <f>D3*0.15</f>
        <v>89.1</v>
      </c>
      <c r="F3" s="1">
        <v>299</v>
      </c>
      <c r="G3" s="1">
        <f>F3-E3</f>
        <v>209.9</v>
      </c>
      <c r="H3" s="1">
        <f>G3*31</f>
        <v>6506.9000000000005</v>
      </c>
      <c r="I3" s="1">
        <v>1700</v>
      </c>
      <c r="J3" s="1">
        <f t="shared" ref="J3:J4" si="0">H3-I3</f>
        <v>4806.9000000000005</v>
      </c>
    </row>
    <row r="4" spans="1:10">
      <c r="A4" s="1" t="s">
        <v>12</v>
      </c>
      <c r="B4" s="1">
        <v>499</v>
      </c>
      <c r="D4" s="1">
        <f>B4+C4</f>
        <v>499</v>
      </c>
      <c r="E4" s="1">
        <f>D4*0.15</f>
        <v>74.849999999999994</v>
      </c>
      <c r="F4" s="1">
        <v>199</v>
      </c>
      <c r="G4" s="1">
        <f>F4-E4</f>
        <v>124.15</v>
      </c>
      <c r="H4" s="1">
        <f>G4*31</f>
        <v>3848.65</v>
      </c>
      <c r="I4" s="1">
        <v>1700</v>
      </c>
      <c r="J4" s="1">
        <f t="shared" si="0"/>
        <v>2148.65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士哲 彭</dc:creator>
  <cp:lastModifiedBy>士哲 彭</cp:lastModifiedBy>
  <dcterms:created xsi:type="dcterms:W3CDTF">2026-06-07T06:41:46Z</dcterms:created>
  <dcterms:modified xsi:type="dcterms:W3CDTF">2026-06-07T11:59:50Z</dcterms:modified>
</cp:coreProperties>
</file>